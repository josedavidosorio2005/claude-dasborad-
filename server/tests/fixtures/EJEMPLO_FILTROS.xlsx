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o_3015\Downloads\"/>
    </mc:Choice>
  </mc:AlternateContent>
  <xr:revisionPtr revIDLastSave="0" documentId="13_ncr:9_{7CA54E8D-B7AA-4DB2-A18E-5811AB5E15BD}" xr6:coauthVersionLast="47" xr6:coauthVersionMax="47" xr10:uidLastSave="{00000000-0000-0000-0000-000000000000}"/>
  <bookViews>
    <workbookView xWindow="-108" yWindow="-108" windowWidth="23256" windowHeight="12456" xr2:uid="{2C7DB18E-350C-4D3D-863C-990E18DA6723}"/>
  </bookViews>
  <sheets>
    <sheet name="GRAFICA" sheetId="2" r:id="rId1"/>
    <sheet name="DATA" sheetId="1" r:id="rId2"/>
  </sheet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<sst xmlns="http://schemas.openxmlformats.org/spreadsheetml/2006/main" count="129" uniqueCount="90">
  <si>
    <t>SKILL_NAME</t>
  </si>
  <si>
    <t>DATE</t>
  </si>
  <si>
    <t>SERVICE_LEVEL_10SEC</t>
  </si>
  <si>
    <t>SERVICE_LEVEL_20SEC</t>
  </si>
  <si>
    <t>SERVICE_LEVEL_30SEC</t>
  </si>
  <si>
    <t>ABANDON</t>
  </si>
  <si>
    <t>ASA</t>
  </si>
  <si>
    <t>ATA</t>
  </si>
  <si>
    <t>WAIT_TIME</t>
  </si>
  <si>
    <t>AHT</t>
  </si>
  <si>
    <t>CALL INBOUND ORLANT 3P</t>
  </si>
  <si>
    <t>86.49 %</t>
  </si>
  <si>
    <t>87.03 %</t>
  </si>
  <si>
    <t>88.11 %</t>
  </si>
  <si>
    <t>1.62%</t>
  </si>
  <si>
    <t>22.47</t>
  </si>
  <si>
    <t>162.33</t>
  </si>
  <si>
    <t>92.66 %</t>
  </si>
  <si>
    <t>94.92 %</t>
  </si>
  <si>
    <t>0.00%</t>
  </si>
  <si>
    <t>8.69</t>
  </si>
  <si>
    <t>0.00</t>
  </si>
  <si>
    <t>82.32 %</t>
  </si>
  <si>
    <t>83.43 %</t>
  </si>
  <si>
    <t>87.85 %</t>
  </si>
  <si>
    <t>1.10%</t>
  </si>
  <si>
    <t>12.99</t>
  </si>
  <si>
    <t>233.00</t>
  </si>
  <si>
    <t>91.82 %</t>
  </si>
  <si>
    <t>92.45 %</t>
  </si>
  <si>
    <t>7.89</t>
  </si>
  <si>
    <t>85.29 %</t>
  </si>
  <si>
    <t>88.24 %</t>
  </si>
  <si>
    <t>30.44</t>
  </si>
  <si>
    <t>91.30 %</t>
  </si>
  <si>
    <t>92.09 %</t>
  </si>
  <si>
    <t>92.49 %</t>
  </si>
  <si>
    <t>0.79%</t>
  </si>
  <si>
    <t>6.69</t>
  </si>
  <si>
    <t>155.00</t>
  </si>
  <si>
    <t>85.07 %</t>
  </si>
  <si>
    <t>87.06 %</t>
  </si>
  <si>
    <t>1.00%</t>
  </si>
  <si>
    <t>16.02</t>
  </si>
  <si>
    <t>82.50</t>
  </si>
  <si>
    <t>83.87 %</t>
  </si>
  <si>
    <t>87.63 %</t>
  </si>
  <si>
    <t>90.86 %</t>
  </si>
  <si>
    <t>1.08%</t>
  </si>
  <si>
    <t>9.71</t>
  </si>
  <si>
    <t>85.00</t>
  </si>
  <si>
    <t>93.96 %</t>
  </si>
  <si>
    <t>94.63 %</t>
  </si>
  <si>
    <t>95.30 %</t>
  </si>
  <si>
    <t>0.67%</t>
  </si>
  <si>
    <t>327.84</t>
  </si>
  <si>
    <t>77.53 %</t>
  </si>
  <si>
    <t>80.90 %</t>
  </si>
  <si>
    <t>83.71 %</t>
  </si>
  <si>
    <t>0.56%</t>
  </si>
  <si>
    <t>18.44</t>
  </si>
  <si>
    <t>75.00</t>
  </si>
  <si>
    <t>69.44 %</t>
  </si>
  <si>
    <t>72.22 %</t>
  </si>
  <si>
    <t>77.78 %</t>
  </si>
  <si>
    <t>5.56%</t>
  </si>
  <si>
    <t>30.85</t>
  </si>
  <si>
    <t>78.13 %</t>
  </si>
  <si>
    <t>81.25 %</t>
  </si>
  <si>
    <t>83.59 %</t>
  </si>
  <si>
    <t>3.91%</t>
  </si>
  <si>
    <t>20.89</t>
  </si>
  <si>
    <t>167.20</t>
  </si>
  <si>
    <t>TOTAL LLAMADAS</t>
  </si>
  <si>
    <t>LLAMADAS CONTESTADAS</t>
  </si>
  <si>
    <t>LLAMADAS ABANDONADAS</t>
  </si>
  <si>
    <t>NIVEL DE ATENCION</t>
  </si>
  <si>
    <t>TASA DE ABNDONO</t>
  </si>
  <si>
    <t>MES</t>
  </si>
  <si>
    <t>Septiembre</t>
  </si>
  <si>
    <t>AÑO</t>
  </si>
  <si>
    <t>Suma de TOTAL LLAMADAS</t>
  </si>
  <si>
    <t>Suma de LLAMADAS CONTESTADAS</t>
  </si>
  <si>
    <t>Suma de LLAMADAS ABANDONADAS</t>
  </si>
  <si>
    <t>Promedio de NIVEL DE ATENCION</t>
  </si>
  <si>
    <t>Promedio de TASA DE ABNDONO</t>
  </si>
  <si>
    <t>(Todas)</t>
  </si>
  <si>
    <t>ORLANT</t>
  </si>
  <si>
    <t>CLINICA AURORA</t>
  </si>
  <si>
    <t>HOSPITAL LA MARIA - DEBE TENER UN FILTRO POR 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</si>
</sst>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5B5B6B"/>
      <name val="Segoe UI"/>
      <family val="2"/>
    </font>
    <font>
      <sz val="8"/>
      <color rgb="FF5B5B6B"/>
      <name val="Segoe UI"/>
      <family val="2"/>
    </font>
    <font>
      <b/>
      <sz val="8"/>
      <color rgb="FFFFFFFF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4F5F7"/>
        <bgColor indexed="64"/>
      </patternFill>
    </fill>
    <fill>
      <patternFill patternType="solid">
        <fgColor rgb="FF00007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74"/>
      </left>
      <right style="medium">
        <color rgb="FF000074"/>
      </right>
      <top style="medium">
        <color rgb="FF000074"/>
      </top>
      <bottom style="medium">
        <color rgb="FF000074"/>
      </bottom>
      <diagonal/>
    </border>
    <border>
      <left style="medium">
        <color rgb="FFECECF1"/>
      </left>
      <right style="medium">
        <color rgb="FFECECF1"/>
      </right>
      <top style="medium">
        <color rgb="FFECECF1"/>
      </top>
      <bottom style="medium">
        <color rgb="FFECECF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33" borderId="0" xfId="0" applyFont="1" applyFill="1"/>
    <xf numFmtId="0" fontId="20" fillId="34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/>
    </xf>
    <xf numFmtId="14" fontId="19" fillId="35" borderId="11" xfId="0" applyNumberFormat="1" applyFont="1" applyFill="1" applyBorder="1" applyAlignment="1">
      <alignment horizontal="center"/>
    </xf>
    <xf numFmtId="21" fontId="19" fillId="35" borderId="11" xfId="0" applyNumberFormat="1" applyFont="1" applyFill="1" applyBorder="1" applyAlignment="1">
      <alignment horizontal="center"/>
    </xf>
    <xf numFmtId="0" fontId="20" fillId="36" borderId="10" xfId="0" applyFont="1" applyFill="1" applyBorder="1" applyAlignment="1">
      <alignment horizontal="center" vertical="center"/>
    </xf>
    <xf numFmtId="9" fontId="19" fillId="35" borderId="11" xfId="1" applyFont="1" applyFill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  <xf numFmtId="9" fontId="0" fillId="0" borderId="0" xfId="0" applyNumberFormat="1"/>
    <xf numFmtId="9" fontId="18" fillId="33" borderId="0" xfId="0" applyNumberFormat="1" applyFont="1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quipo_3015" refreshedDate="46279.49150891204" createdVersion="8" refreshedVersion="8" minRefreshableVersion="3" recordCount="12" xr:uid="{4B8E84D6-8A59-4251-84E6-6AF269A8B7A0}">
  <cacheSource type="worksheet">
    <worksheetSource ref="A1:Q13" sheet="DATA"/>
  </cacheSource>
  <cacheFields count="17">
    <cacheField name="SKILL_NAME" numFmtId="0">
      <sharedItems count="2">
        <s v="CALL INBOUND ORLANT 3P"/>
        <s v="TOTAL" u="1"/>
      </sharedItems>
    </cacheField>
    <cacheField name="DATE" numFmtId="14">
      <sharedItems containsNonDate="0" containsDate="1" containsMixedTypes="1" minDate="2026-09-01T00:00:00" maxDate="2026-09-15T00:00:00" count="13"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4T00:00:00"/>
        <s v="SEPTIEMBRE" u="1"/>
      </sharedItems>
    </cacheField>
    <cacheField name="TOTAL LLAMADAS" numFmtId="0">
      <sharedItems containsSemiMixedTypes="0" containsString="0" containsNumber="1" containsInteger="1" minValue="34" maxValue="253"/>
    </cacheField>
    <cacheField name="LLAMADAS CONTESTADAS" numFmtId="0">
      <sharedItems containsSemiMixedTypes="0" containsString="0" containsNumber="1" containsInteger="1" minValue="34" maxValue="251"/>
    </cacheField>
    <cacheField name="LLAMADAS ABANDONADAS" numFmtId="0">
      <sharedItems containsSemiMixedTypes="0" containsString="0" containsNumber="1" containsInteger="1" minValue="0" maxValue="5"/>
    </cacheField>
    <cacheField name="SERVICE_LEVEL_10SEC" numFmtId="0">
      <sharedItems/>
    </cacheField>
    <cacheField name="SERVICE_LEVEL_20SEC" numFmtId="0">
      <sharedItems/>
    </cacheField>
    <cacheField name="SERVICE_LEVEL_30SEC" numFmtId="0">
      <sharedItems/>
    </cacheField>
    <cacheField name="ABANDON" numFmtId="0">
      <sharedItems/>
    </cacheField>
    <cacheField name="ASA" numFmtId="0">
      <sharedItems/>
    </cacheField>
    <cacheField name="ATA" numFmtId="0">
      <sharedItems/>
    </cacheField>
    <cacheField name="WAIT_TIME" numFmtId="21">
      <sharedItems containsSemiMixedTypes="0" containsNonDate="0" containsDate="1" containsString="0" minDate="1899-12-30T00:00:06" maxDate="1899-12-30T00:05:27"/>
    </cacheField>
    <cacheField name="AHT" numFmtId="21">
      <sharedItems containsSemiMixedTypes="0" containsNonDate="0" containsDate="1" containsString="0" minDate="1899-12-30T00:03:05" maxDate="1899-12-30T00:04:31"/>
    </cacheField>
    <cacheField name="NIVEL DE ATENCION" numFmtId="9">
      <sharedItems containsSemiMixedTypes="0" containsString="0" containsNumber="1" minValue="0.94444444444444442" maxValue="1"/>
    </cacheField>
    <cacheField name="TASA DE ABNDONO" numFmtId="9">
      <sharedItems containsSemiMixedTypes="0" containsString="0" containsNumber="1" minValue="0" maxValue="5.5555555555555552E-2"/>
    </cacheField>
    <cacheField name="MES" numFmtId="0">
      <sharedItems count="1">
        <s v="Septiembre"/>
      </sharedItems>
    </cacheField>
    <cacheField name="AÑO" numFmtId="0">
      <sharedItems containsSemiMixedTypes="0" containsString="0" containsNumber="1" containsInteger="1" minValue="2026" maxValue="2026" count="1"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185"/>
    <n v="182"/>
    <n v="3"/>
    <s v="86.49 %"/>
    <s v="87.03 %"/>
    <s v="88.11 %"/>
    <s v="1.62%"/>
    <s v="22.47"/>
    <s v="162.33"/>
    <d v="1899-12-30T00:00:22"/>
    <d v="1899-12-30T00:03:35"/>
    <n v="0.98378378378378384"/>
    <n v="1.6216216216216217E-2"/>
    <x v="0"/>
    <x v="0"/>
  </r>
  <r>
    <x v="0"/>
    <x v="1"/>
    <n v="177"/>
    <n v="177"/>
    <n v="0"/>
    <s v="92.66 %"/>
    <s v="94.92 %"/>
    <s v="94.92 %"/>
    <s v="0.00%"/>
    <s v="8.69"/>
    <s v="0.00"/>
    <d v="1899-12-30T00:00:08"/>
    <d v="1899-12-30T00:03:33"/>
    <n v="1"/>
    <n v="0"/>
    <x v="0"/>
    <x v="0"/>
  </r>
  <r>
    <x v="0"/>
    <x v="2"/>
    <n v="181"/>
    <n v="179"/>
    <n v="2"/>
    <s v="82.32 %"/>
    <s v="83.43 %"/>
    <s v="87.85 %"/>
    <s v="1.10%"/>
    <s v="12.99"/>
    <s v="233.00"/>
    <d v="1899-12-30T00:00:12"/>
    <d v="1899-12-30T00:03:05"/>
    <n v="0.98895027624309395"/>
    <n v="1.1049723756906077E-2"/>
    <x v="0"/>
    <x v="0"/>
  </r>
  <r>
    <x v="0"/>
    <x v="3"/>
    <n v="159"/>
    <n v="159"/>
    <n v="0"/>
    <s v="91.82 %"/>
    <s v="91.82 %"/>
    <s v="92.45 %"/>
    <s v="0.00%"/>
    <s v="7.89"/>
    <s v="0.00"/>
    <d v="1899-12-30T00:00:07"/>
    <d v="1899-12-30T00:03:26"/>
    <n v="1"/>
    <n v="0"/>
    <x v="0"/>
    <x v="0"/>
  </r>
  <r>
    <x v="0"/>
    <x v="4"/>
    <n v="34"/>
    <n v="34"/>
    <n v="0"/>
    <s v="85.29 %"/>
    <s v="88.24 %"/>
    <s v="88.24 %"/>
    <s v="0.00%"/>
    <s v="30.44"/>
    <s v="0.00"/>
    <d v="1899-12-30T00:00:30"/>
    <d v="1899-12-30T00:03:09"/>
    <n v="1"/>
    <n v="0"/>
    <x v="0"/>
    <x v="0"/>
  </r>
  <r>
    <x v="0"/>
    <x v="5"/>
    <n v="253"/>
    <n v="251"/>
    <n v="2"/>
    <s v="91.30 %"/>
    <s v="92.09 %"/>
    <s v="92.49 %"/>
    <s v="0.79%"/>
    <s v="6.69"/>
    <s v="155.00"/>
    <d v="1899-12-30T00:00:06"/>
    <d v="1899-12-30T00:03:24"/>
    <n v="0.9920948616600791"/>
    <n v="7.9051383399209481E-3"/>
    <x v="0"/>
    <x v="0"/>
  </r>
  <r>
    <x v="0"/>
    <x v="6"/>
    <n v="201"/>
    <n v="199"/>
    <n v="2"/>
    <s v="85.07 %"/>
    <s v="87.06 %"/>
    <s v="87.06 %"/>
    <s v="1.00%"/>
    <s v="16.02"/>
    <s v="82.50"/>
    <d v="1899-12-30T00:00:16"/>
    <d v="1899-12-30T00:03:46"/>
    <n v="0.99004975124378114"/>
    <n v="9.9502487562189053E-3"/>
    <x v="0"/>
    <x v="0"/>
  </r>
  <r>
    <x v="0"/>
    <x v="7"/>
    <n v="186"/>
    <n v="184"/>
    <n v="2"/>
    <s v="83.87 %"/>
    <s v="87.63 %"/>
    <s v="90.86 %"/>
    <s v="1.08%"/>
    <s v="9.71"/>
    <s v="85.00"/>
    <d v="1899-12-30T00:00:09"/>
    <d v="1899-12-30T00:04:00"/>
    <n v="0.989247311827957"/>
    <n v="1.0752688172043012E-2"/>
    <x v="0"/>
    <x v="0"/>
  </r>
  <r>
    <x v="0"/>
    <x v="8"/>
    <n v="149"/>
    <n v="148"/>
    <n v="1"/>
    <s v="93.96 %"/>
    <s v="94.63 %"/>
    <s v="95.30 %"/>
    <s v="0.67%"/>
    <s v="327.84"/>
    <s v="0.00"/>
    <d v="1899-12-30T00:05:27"/>
    <d v="1899-12-30T00:03:29"/>
    <n v="0.99328859060402686"/>
    <n v="6.7114093959731542E-3"/>
    <x v="0"/>
    <x v="0"/>
  </r>
  <r>
    <x v="0"/>
    <x v="9"/>
    <n v="178"/>
    <n v="177"/>
    <n v="1"/>
    <s v="77.53 %"/>
    <s v="80.90 %"/>
    <s v="83.71 %"/>
    <s v="0.56%"/>
    <s v="18.44"/>
    <s v="75.00"/>
    <d v="1899-12-30T00:00:18"/>
    <d v="1899-12-30T00:03:50"/>
    <n v="0.9943820224719101"/>
    <n v="5.6179775280898875E-3"/>
    <x v="0"/>
    <x v="0"/>
  </r>
  <r>
    <x v="0"/>
    <x v="10"/>
    <n v="36"/>
    <n v="34"/>
    <n v="2"/>
    <s v="69.44 %"/>
    <s v="72.22 %"/>
    <s v="77.78 %"/>
    <s v="5.56%"/>
    <s v="30.85"/>
    <s v="85.00"/>
    <d v="1899-12-30T00:00:30"/>
    <d v="1899-12-30T00:04:31"/>
    <n v="0.94444444444444442"/>
    <n v="5.5555555555555552E-2"/>
    <x v="0"/>
    <x v="0"/>
  </r>
  <r>
    <x v="0"/>
    <x v="11"/>
    <n v="128"/>
    <n v="123"/>
    <n v="5"/>
    <s v="78.13 %"/>
    <s v="81.25 %"/>
    <s v="83.59 %"/>
    <s v="3.91%"/>
    <s v="20.89"/>
    <s v="167.20"/>
    <d v="1899-12-30T00:00:20"/>
    <d v="1899-12-30T00:03:45"/>
    <n v="0.9609375"/>
    <n v="3.90625E-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80364-B773-4E9D-AA10-6E3A776926C1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6:E7" firstHeaderRow="0" firstDataRow="1" firstDataCol="0" rowPageCount="4" colPageCount="1"/>
  <pivotFields count="17">
    <pivotField axis="axisPage" showAll="0">
      <items count="3">
        <item x="0"/>
        <item m="1" x="1"/>
        <item t="default"/>
      </items>
    </pivotField>
    <pivotField axis="axisPage" multipleItemSelectionAllowed="1" showAll="0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21" showAll="0"/>
    <pivotField numFmtId="21" showAll="0"/>
    <pivotField dataField="1" numFmtId="9" showAll="0"/>
    <pivotField dataField="1" numFmtId="9" showAll="0"/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0" hier="-1"/>
    <pageField fld="16" hier="-1"/>
    <pageField fld="1" hier="-1"/>
    <pageField fld="15" hier="-1"/>
  </pageFields>
  <dataFields count="5">
    <dataField name="Suma de TOTAL LLAMADAS" fld="2" baseField="0" baseItem="0"/>
    <dataField name="Suma de LLAMADAS CONTESTADAS" fld="3" baseField="0" baseItem="0"/>
    <dataField name="Suma de LLAMADAS ABANDONADAS" fld="4" baseField="0" baseItem="0"/>
    <dataField name="Promedio de NIVEL DE ATENCION" fld="13" subtotal="average" baseField="15" baseItem="0" numFmtId="9"/>
    <dataField name="Promedio de TASA DE ABNDONO" fld="14" subtotal="average" baseField="15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C2BF-C575-4BA0-9273-74EB11A7AD2C}">
  <dimension ref="A1:E14"/>
  <sheetViews>
    <sheetView tabSelected="1" workbookViewId="0">
      <selection activeCell="C19" sqref="C19"/>
    </sheetView>
  </sheetViews>
  <sheetFormatPr baseColWidth="10" defaultRowHeight="14.4" x14ac:dyDescent="0.3"/>
  <cols>
    <col min="1" max="1" width="23.109375" bestFit="1" customWidth="1"/>
    <col min="2" max="2" width="30.44140625" bestFit="1" customWidth="1"/>
    <col min="3" max="3" width="31.21875" bestFit="1" customWidth="1"/>
    <col min="4" max="4" width="28.77734375" bestFit="1" customWidth="1"/>
    <col min="5" max="6" width="28.109375" bestFit="1" customWidth="1"/>
  </cols>
  <sheetData>
    <row r="1" spans="1:5" x14ac:dyDescent="0.3">
      <c r="A1" s="9" t="s">
        <v>0</v>
      </c>
      <c r="B1" t="s">
        <v>86</v>
      </c>
    </row>
    <row r="2" spans="1:5" x14ac:dyDescent="0.3">
      <c r="A2" s="9" t="s">
        <v>80</v>
      </c>
      <c r="B2" t="s">
        <v>86</v>
      </c>
    </row>
    <row r="3" spans="1:5" x14ac:dyDescent="0.3">
      <c r="A3" s="9" t="s">
        <v>1</v>
      </c>
      <c r="B3" t="s">
        <v>86</v>
      </c>
    </row>
    <row r="4" spans="1:5" x14ac:dyDescent="0.3">
      <c r="A4" s="9" t="s">
        <v>78</v>
      </c>
      <c r="B4" t="s">
        <v>86</v>
      </c>
    </row>
    <row r="6" spans="1:5" x14ac:dyDescent="0.3">
      <c r="A6" t="s">
        <v>81</v>
      </c>
      <c r="B6" t="s">
        <v>82</v>
      </c>
      <c r="C6" t="s">
        <v>83</v>
      </c>
      <c r="D6" t="s">
        <v>84</v>
      </c>
      <c r="E6" t="s">
        <v>85</v>
      </c>
    </row>
    <row r="7" spans="1:5" x14ac:dyDescent="0.3">
      <c r="A7" s="10">
        <v>1867</v>
      </c>
      <c r="B7" s="10">
        <v>1847</v>
      </c>
      <c r="C7" s="10">
        <v>20</v>
      </c>
      <c r="D7" s="11">
        <v>0.98643154518992304</v>
      </c>
      <c r="E7" s="11">
        <v>1.356845481007698E-2</v>
      </c>
    </row>
    <row r="12" spans="1:5" x14ac:dyDescent="0.3">
      <c r="C12" t="s">
        <v>87</v>
      </c>
    </row>
    <row r="13" spans="1:5" x14ac:dyDescent="0.3">
      <c r="C13" t="s">
        <v>88</v>
      </c>
    </row>
    <row r="14" spans="1:5" x14ac:dyDescent="0.3">
      <c r="C1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416C-D9F7-4BED-8E13-733BA6D1382C}">
  <dimension ref="A1:Q15"/>
  <sheetViews>
    <sheetView showGridLines="0" workbookViewId="0">
      <selection activeCell="C12" sqref="C12"/>
    </sheetView>
  </sheetViews>
  <sheetFormatPr baseColWidth="10" defaultRowHeight="16.8" x14ac:dyDescent="0.4"/>
  <cols>
    <col min="1" max="1" width="26.33203125" style="1" customWidth="1"/>
    <col min="2" max="2" width="11.33203125" style="1" customWidth="1"/>
    <col min="3" max="3" width="17.33203125" style="1" customWidth="1"/>
    <col min="4" max="4" width="19.44140625" style="1" bestFit="1" customWidth="1"/>
    <col min="5" max="5" width="20.33203125" style="1" bestFit="1" customWidth="1"/>
    <col min="6" max="8" width="21.77734375" style="1" customWidth="1"/>
    <col min="9" max="9" width="11.33203125" style="1" customWidth="1"/>
    <col min="10" max="11" width="7" style="1" customWidth="1"/>
    <col min="12" max="12" width="12" style="1" customWidth="1"/>
    <col min="13" max="13" width="8.109375" style="1" customWidth="1"/>
    <col min="14" max="14" width="15" style="1" bestFit="1" customWidth="1"/>
    <col min="15" max="15" width="14.6640625" style="1" bestFit="1" customWidth="1"/>
    <col min="16" max="16384" width="11.5546875" style="1"/>
  </cols>
  <sheetData>
    <row r="1" spans="1:17" ht="17.399999999999999" thickBot="1" x14ac:dyDescent="0.45">
      <c r="A1" s="2" t="s">
        <v>0</v>
      </c>
      <c r="B1" s="2" t="s">
        <v>1</v>
      </c>
      <c r="C1" s="6" t="s">
        <v>73</v>
      </c>
      <c r="D1" s="6" t="s">
        <v>74</v>
      </c>
      <c r="E1" s="6" t="s">
        <v>75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6" t="s">
        <v>76</v>
      </c>
      <c r="O1" s="6" t="s">
        <v>77</v>
      </c>
      <c r="P1" s="6" t="s">
        <v>78</v>
      </c>
      <c r="Q1" s="6" t="s">
        <v>80</v>
      </c>
    </row>
    <row r="2" spans="1:17" ht="17.399999999999999" thickBot="1" x14ac:dyDescent="0.45">
      <c r="A2" s="3" t="s">
        <v>10</v>
      </c>
      <c r="B2" s="4">
        <v>46266</v>
      </c>
      <c r="C2" s="3">
        <v>185</v>
      </c>
      <c r="D2" s="3">
        <v>182</v>
      </c>
      <c r="E2" s="3">
        <v>3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5">
        <v>2.5462962962962961E-4</v>
      </c>
      <c r="M2" s="5">
        <v>2.488425925925926E-3</v>
      </c>
      <c r="N2" s="7">
        <v>0.98378378378378384</v>
      </c>
      <c r="O2" s="7">
        <v>1.6216216216216217E-2</v>
      </c>
      <c r="P2" s="1" t="s">
        <v>79</v>
      </c>
      <c r="Q2" s="8">
        <v>2026</v>
      </c>
    </row>
    <row r="3" spans="1:17" ht="17.399999999999999" thickBot="1" x14ac:dyDescent="0.45">
      <c r="A3" s="3" t="s">
        <v>10</v>
      </c>
      <c r="B3" s="4">
        <v>46267</v>
      </c>
      <c r="C3" s="3">
        <v>177</v>
      </c>
      <c r="D3" s="3">
        <v>177</v>
      </c>
      <c r="E3" s="3">
        <v>0</v>
      </c>
      <c r="F3" s="3" t="s">
        <v>17</v>
      </c>
      <c r="G3" s="3" t="s">
        <v>18</v>
      </c>
      <c r="H3" s="3" t="s">
        <v>18</v>
      </c>
      <c r="I3" s="3" t="s">
        <v>19</v>
      </c>
      <c r="J3" s="3" t="s">
        <v>20</v>
      </c>
      <c r="K3" s="3" t="s">
        <v>21</v>
      </c>
      <c r="L3" s="5">
        <v>9.2592592592592588E-5</v>
      </c>
      <c r="M3" s="5">
        <v>2.4652777777777776E-3</v>
      </c>
      <c r="N3" s="7">
        <v>1</v>
      </c>
      <c r="O3" s="7">
        <v>0</v>
      </c>
      <c r="P3" s="1" t="s">
        <v>79</v>
      </c>
      <c r="Q3" s="8">
        <v>2026</v>
      </c>
    </row>
    <row r="4" spans="1:17" ht="17.399999999999999" thickBot="1" x14ac:dyDescent="0.45">
      <c r="A4" s="3" t="s">
        <v>10</v>
      </c>
      <c r="B4" s="4">
        <v>46268</v>
      </c>
      <c r="C4" s="3">
        <v>181</v>
      </c>
      <c r="D4" s="3">
        <v>179</v>
      </c>
      <c r="E4" s="3">
        <v>2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5">
        <v>1.3888888888888889E-4</v>
      </c>
      <c r="M4" s="5">
        <v>2.1412037037037038E-3</v>
      </c>
      <c r="N4" s="7">
        <v>0.98895027624309395</v>
      </c>
      <c r="O4" s="7">
        <v>1.1049723756906077E-2</v>
      </c>
      <c r="P4" s="1" t="s">
        <v>79</v>
      </c>
      <c r="Q4" s="8">
        <v>2026</v>
      </c>
    </row>
    <row r="5" spans="1:17" ht="17.399999999999999" thickBot="1" x14ac:dyDescent="0.45">
      <c r="A5" s="3" t="s">
        <v>10</v>
      </c>
      <c r="B5" s="4">
        <v>46269</v>
      </c>
      <c r="C5" s="3">
        <v>159</v>
      </c>
      <c r="D5" s="3">
        <v>159</v>
      </c>
      <c r="E5" s="3">
        <v>0</v>
      </c>
      <c r="F5" s="3" t="s">
        <v>28</v>
      </c>
      <c r="G5" s="3" t="s">
        <v>28</v>
      </c>
      <c r="H5" s="3" t="s">
        <v>29</v>
      </c>
      <c r="I5" s="3" t="s">
        <v>19</v>
      </c>
      <c r="J5" s="3" t="s">
        <v>30</v>
      </c>
      <c r="K5" s="3" t="s">
        <v>21</v>
      </c>
      <c r="L5" s="5">
        <v>8.1018518518518516E-5</v>
      </c>
      <c r="M5" s="5">
        <v>2.3842592592592591E-3</v>
      </c>
      <c r="N5" s="7">
        <v>1</v>
      </c>
      <c r="O5" s="7">
        <v>0</v>
      </c>
      <c r="P5" s="1" t="s">
        <v>79</v>
      </c>
      <c r="Q5" s="8">
        <v>2026</v>
      </c>
    </row>
    <row r="6" spans="1:17" ht="17.399999999999999" thickBot="1" x14ac:dyDescent="0.45">
      <c r="A6" s="3" t="s">
        <v>10</v>
      </c>
      <c r="B6" s="4">
        <v>46270</v>
      </c>
      <c r="C6" s="3">
        <v>34</v>
      </c>
      <c r="D6" s="3">
        <v>34</v>
      </c>
      <c r="E6" s="3">
        <v>0</v>
      </c>
      <c r="F6" s="3" t="s">
        <v>31</v>
      </c>
      <c r="G6" s="3" t="s">
        <v>32</v>
      </c>
      <c r="H6" s="3" t="s">
        <v>32</v>
      </c>
      <c r="I6" s="3" t="s">
        <v>19</v>
      </c>
      <c r="J6" s="3" t="s">
        <v>33</v>
      </c>
      <c r="K6" s="3" t="s">
        <v>21</v>
      </c>
      <c r="L6" s="5">
        <v>3.4722222222222224E-4</v>
      </c>
      <c r="M6" s="5">
        <v>2.1875000000000002E-3</v>
      </c>
      <c r="N6" s="7">
        <v>1</v>
      </c>
      <c r="O6" s="7">
        <v>0</v>
      </c>
      <c r="P6" s="1" t="s">
        <v>79</v>
      </c>
      <c r="Q6" s="8">
        <v>2026</v>
      </c>
    </row>
    <row r="7" spans="1:17" ht="17.399999999999999" thickBot="1" x14ac:dyDescent="0.45">
      <c r="A7" s="3" t="s">
        <v>10</v>
      </c>
      <c r="B7" s="4">
        <v>46272</v>
      </c>
      <c r="C7" s="3">
        <v>253</v>
      </c>
      <c r="D7" s="3">
        <v>251</v>
      </c>
      <c r="E7" s="3">
        <v>2</v>
      </c>
      <c r="F7" s="3" t="s">
        <v>34</v>
      </c>
      <c r="G7" s="3" t="s">
        <v>35</v>
      </c>
      <c r="H7" s="3" t="s">
        <v>36</v>
      </c>
      <c r="I7" s="3" t="s">
        <v>37</v>
      </c>
      <c r="J7" s="3" t="s">
        <v>38</v>
      </c>
      <c r="K7" s="3" t="s">
        <v>39</v>
      </c>
      <c r="L7" s="5">
        <v>6.9444444444444444E-5</v>
      </c>
      <c r="M7" s="5">
        <v>2.3611111111111111E-3</v>
      </c>
      <c r="N7" s="7">
        <v>0.9920948616600791</v>
      </c>
      <c r="O7" s="7">
        <v>7.9051383399209481E-3</v>
      </c>
      <c r="P7" s="1" t="s">
        <v>79</v>
      </c>
      <c r="Q7" s="8">
        <v>2026</v>
      </c>
    </row>
    <row r="8" spans="1:17" ht="17.399999999999999" thickBot="1" x14ac:dyDescent="0.45">
      <c r="A8" s="3" t="s">
        <v>10</v>
      </c>
      <c r="B8" s="4">
        <v>46273</v>
      </c>
      <c r="C8" s="3">
        <v>201</v>
      </c>
      <c r="D8" s="3">
        <v>199</v>
      </c>
      <c r="E8" s="3">
        <v>2</v>
      </c>
      <c r="F8" s="3" t="s">
        <v>40</v>
      </c>
      <c r="G8" s="3" t="s">
        <v>41</v>
      </c>
      <c r="H8" s="3" t="s">
        <v>41</v>
      </c>
      <c r="I8" s="3" t="s">
        <v>42</v>
      </c>
      <c r="J8" s="3" t="s">
        <v>43</v>
      </c>
      <c r="K8" s="3" t="s">
        <v>44</v>
      </c>
      <c r="L8" s="5">
        <v>1.8518518518518518E-4</v>
      </c>
      <c r="M8" s="5">
        <v>2.6157407407407405E-3</v>
      </c>
      <c r="N8" s="7">
        <v>0.99004975124378114</v>
      </c>
      <c r="O8" s="7">
        <v>9.9502487562189053E-3</v>
      </c>
      <c r="P8" s="1" t="s">
        <v>79</v>
      </c>
      <c r="Q8" s="8">
        <v>2026</v>
      </c>
    </row>
    <row r="9" spans="1:17" ht="17.399999999999999" thickBot="1" x14ac:dyDescent="0.45">
      <c r="A9" s="3" t="s">
        <v>10</v>
      </c>
      <c r="B9" s="4">
        <v>46274</v>
      </c>
      <c r="C9" s="3">
        <v>186</v>
      </c>
      <c r="D9" s="3">
        <v>184</v>
      </c>
      <c r="E9" s="3">
        <v>2</v>
      </c>
      <c r="F9" s="3" t="s">
        <v>45</v>
      </c>
      <c r="G9" s="3" t="s">
        <v>46</v>
      </c>
      <c r="H9" s="3" t="s">
        <v>47</v>
      </c>
      <c r="I9" s="3" t="s">
        <v>48</v>
      </c>
      <c r="J9" s="3" t="s">
        <v>49</v>
      </c>
      <c r="K9" s="3" t="s">
        <v>50</v>
      </c>
      <c r="L9" s="5">
        <v>1.0416666666666667E-4</v>
      </c>
      <c r="M9" s="5">
        <v>2.7777777777777779E-3</v>
      </c>
      <c r="N9" s="7">
        <v>0.989247311827957</v>
      </c>
      <c r="O9" s="7">
        <v>1.0752688172043012E-2</v>
      </c>
      <c r="P9" s="1" t="s">
        <v>79</v>
      </c>
      <c r="Q9" s="8">
        <v>2026</v>
      </c>
    </row>
    <row r="10" spans="1:17" ht="17.399999999999999" thickBot="1" x14ac:dyDescent="0.45">
      <c r="A10" s="3" t="s">
        <v>10</v>
      </c>
      <c r="B10" s="4">
        <v>46275</v>
      </c>
      <c r="C10" s="3">
        <v>149</v>
      </c>
      <c r="D10" s="3">
        <v>148</v>
      </c>
      <c r="E10" s="3">
        <v>1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21</v>
      </c>
      <c r="L10" s="5">
        <v>3.7847222222222223E-3</v>
      </c>
      <c r="M10" s="5">
        <v>2.4189814814814816E-3</v>
      </c>
      <c r="N10" s="7">
        <v>0.99328859060402686</v>
      </c>
      <c r="O10" s="7">
        <v>6.7114093959731542E-3</v>
      </c>
      <c r="P10" s="1" t="s">
        <v>79</v>
      </c>
      <c r="Q10" s="8">
        <v>2026</v>
      </c>
    </row>
    <row r="11" spans="1:17" ht="17.399999999999999" thickBot="1" x14ac:dyDescent="0.45">
      <c r="A11" s="3" t="s">
        <v>10</v>
      </c>
      <c r="B11" s="4">
        <v>46276</v>
      </c>
      <c r="C11" s="3">
        <v>178</v>
      </c>
      <c r="D11" s="3">
        <v>177</v>
      </c>
      <c r="E11" s="3">
        <v>1</v>
      </c>
      <c r="F11" s="3" t="s">
        <v>56</v>
      </c>
      <c r="G11" s="3" t="s">
        <v>57</v>
      </c>
      <c r="H11" s="3" t="s">
        <v>58</v>
      </c>
      <c r="I11" s="3" t="s">
        <v>59</v>
      </c>
      <c r="J11" s="3" t="s">
        <v>60</v>
      </c>
      <c r="K11" s="3" t="s">
        <v>61</v>
      </c>
      <c r="L11" s="5">
        <v>2.0833333333333335E-4</v>
      </c>
      <c r="M11" s="5">
        <v>2.662037037037037E-3</v>
      </c>
      <c r="N11" s="7">
        <v>0.9943820224719101</v>
      </c>
      <c r="O11" s="7">
        <v>5.6179775280898875E-3</v>
      </c>
      <c r="P11" s="1" t="s">
        <v>79</v>
      </c>
      <c r="Q11" s="8">
        <v>2026</v>
      </c>
    </row>
    <row r="12" spans="1:17" ht="17.399999999999999" thickBot="1" x14ac:dyDescent="0.45">
      <c r="A12" s="3" t="s">
        <v>10</v>
      </c>
      <c r="B12" s="4">
        <v>46277</v>
      </c>
      <c r="C12" s="3">
        <v>36</v>
      </c>
      <c r="D12" s="3">
        <v>34</v>
      </c>
      <c r="E12" s="3">
        <v>2</v>
      </c>
      <c r="F12" s="3" t="s">
        <v>62</v>
      </c>
      <c r="G12" s="3" t="s">
        <v>63</v>
      </c>
      <c r="H12" s="3" t="s">
        <v>64</v>
      </c>
      <c r="I12" s="3" t="s">
        <v>65</v>
      </c>
      <c r="J12" s="3" t="s">
        <v>66</v>
      </c>
      <c r="K12" s="3" t="s">
        <v>50</v>
      </c>
      <c r="L12" s="5">
        <v>3.4722222222222224E-4</v>
      </c>
      <c r="M12" s="5">
        <v>3.1365740740740742E-3</v>
      </c>
      <c r="N12" s="7">
        <v>0.94444444444444442</v>
      </c>
      <c r="O12" s="7">
        <v>5.5555555555555552E-2</v>
      </c>
      <c r="P12" s="1" t="s">
        <v>79</v>
      </c>
      <c r="Q12" s="8">
        <v>2026</v>
      </c>
    </row>
    <row r="13" spans="1:17" ht="17.399999999999999" thickBot="1" x14ac:dyDescent="0.45">
      <c r="A13" s="3" t="s">
        <v>10</v>
      </c>
      <c r="B13" s="4">
        <v>46279</v>
      </c>
      <c r="C13" s="3">
        <v>128</v>
      </c>
      <c r="D13" s="3">
        <v>123</v>
      </c>
      <c r="E13" s="3">
        <v>5</v>
      </c>
      <c r="F13" s="3" t="s">
        <v>67</v>
      </c>
      <c r="G13" s="3" t="s">
        <v>68</v>
      </c>
      <c r="H13" s="3" t="s">
        <v>69</v>
      </c>
      <c r="I13" s="3" t="s">
        <v>70</v>
      </c>
      <c r="J13" s="3" t="s">
        <v>71</v>
      </c>
      <c r="K13" s="3" t="s">
        <v>72</v>
      </c>
      <c r="L13" s="5">
        <v>2.3148148148148149E-4</v>
      </c>
      <c r="M13" s="5">
        <v>2.6041666666666665E-3</v>
      </c>
      <c r="N13" s="7">
        <v>0.9609375</v>
      </c>
      <c r="O13" s="7">
        <v>3.90625E-2</v>
      </c>
      <c r="P13" s="1" t="s">
        <v>79</v>
      </c>
      <c r="Q13" s="8">
        <v>2026</v>
      </c>
    </row>
    <row r="15" spans="1:17" x14ac:dyDescent="0.4">
      <c r="N15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GRAFICA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WOLKVOX REPORT</dc:title>
  <dc:creator>Edwin Garcia</dc:creator>
  <cp:lastModifiedBy>Edwin Garcia</cp:lastModifiedBy>
  <dcterms:created xsi:type="dcterms:W3CDTF">2026-09-14T16:48:57Z</dcterms:created>
  <dcterms:modified xsi:type="dcterms:W3CDTF">2026-09-14T16:50:31Z</dcterms:modified>
</cp:coreProperties>
</file>